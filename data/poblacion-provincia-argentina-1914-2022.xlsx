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GitHub\mortalidad_historica\data\"/>
    </mc:Choice>
  </mc:AlternateContent>
  <xr:revisionPtr revIDLastSave="0" documentId="13_ncr:1_{8BF22222-4820-4680-B400-A75AC14C6137}" xr6:coauthVersionLast="47" xr6:coauthVersionMax="47" xr10:uidLastSave="{00000000-0000-0000-0000-000000000000}"/>
  <bookViews>
    <workbookView xWindow="-108" yWindow="-108" windowWidth="23256" windowHeight="12456" xr2:uid="{F74301B5-6AA5-40C3-A1D5-0806D00EF6C7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5" i="1" l="1"/>
  <c r="K24" i="1"/>
  <c r="K23" i="1"/>
  <c r="K22" i="1"/>
  <c r="A22" i="1"/>
  <c r="A23" i="1" s="1"/>
  <c r="A24" i="1" s="1"/>
  <c r="A25" i="1" s="1"/>
  <c r="K21" i="1"/>
  <c r="K20" i="1"/>
  <c r="A20" i="1"/>
  <c r="K19" i="1"/>
  <c r="A19" i="1"/>
  <c r="K18" i="1"/>
  <c r="K17" i="1"/>
  <c r="K16" i="1"/>
  <c r="K15" i="1"/>
  <c r="K14" i="1"/>
  <c r="K13" i="1"/>
  <c r="A13" i="1"/>
  <c r="A14" i="1" s="1"/>
  <c r="A15" i="1" s="1"/>
  <c r="A16" i="1" s="1"/>
  <c r="A17" i="1" s="1"/>
  <c r="K12" i="1"/>
  <c r="K11" i="1"/>
  <c r="K10" i="1"/>
  <c r="K9" i="1"/>
  <c r="A9" i="1"/>
  <c r="A10" i="1" s="1"/>
  <c r="A11" i="1" s="1"/>
  <c r="K8" i="1"/>
  <c r="K7" i="1"/>
  <c r="K6" i="1"/>
  <c r="K5" i="1"/>
  <c r="K4" i="1"/>
  <c r="K3" i="1"/>
  <c r="A3" i="1"/>
  <c r="A4" i="1" s="1"/>
  <c r="A5" i="1" s="1"/>
  <c r="A6" i="1" s="1"/>
  <c r="A7" i="1" s="1"/>
  <c r="K2" i="1"/>
</calcChain>
</file>

<file path=xl/sharedStrings.xml><?xml version="1.0" encoding="utf-8"?>
<sst xmlns="http://schemas.openxmlformats.org/spreadsheetml/2006/main" count="31" uniqueCount="31">
  <si>
    <t>Region</t>
  </si>
  <si>
    <t>Provincia</t>
  </si>
  <si>
    <t>PAMPEANA</t>
  </si>
  <si>
    <t>CABA</t>
  </si>
  <si>
    <t>BSAS</t>
  </si>
  <si>
    <t>Cordoba</t>
  </si>
  <si>
    <t>SantaFe</t>
  </si>
  <si>
    <t>Entre Rios</t>
  </si>
  <si>
    <t>LaPampa</t>
  </si>
  <si>
    <t>NORDESTE</t>
  </si>
  <si>
    <t>Chaco</t>
  </si>
  <si>
    <t>Misiones</t>
  </si>
  <si>
    <t>Corrientes</t>
  </si>
  <si>
    <t>Formosa</t>
  </si>
  <si>
    <t>NOROESTE</t>
  </si>
  <si>
    <t>Tucuman</t>
  </si>
  <si>
    <t>Salta</t>
  </si>
  <si>
    <t>SantiagodelEstero</t>
  </si>
  <si>
    <t>Jujuy</t>
  </si>
  <si>
    <t>Catamarca</t>
  </si>
  <si>
    <t>LaRioja</t>
  </si>
  <si>
    <t>CUYO</t>
  </si>
  <si>
    <t>Mendoza</t>
  </si>
  <si>
    <t>SanJuan</t>
  </si>
  <si>
    <t>SanLuis</t>
  </si>
  <si>
    <t>PATAGONIA</t>
  </si>
  <si>
    <t>Rio Negro</t>
  </si>
  <si>
    <t>Neuquen</t>
  </si>
  <si>
    <t>Chubut</t>
  </si>
  <si>
    <t>SantaCruz</t>
  </si>
  <si>
    <t>TierradelFuego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</si>
</sst>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Poblacion_provincias_1914_2001.xlsx" TargetMode="External"/><Relationship Id="rId1" Type="http://schemas.openxmlformats.org/officeDocument/2006/relationships/externalLinkPath" Target="/Users/DELL/Downloads/Poblacion_provincias_1914_2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3"/>
      <sheetName val="2010"/>
      <sheetName val="2022"/>
      <sheetName val="1914-2001"/>
    </sheetNames>
    <sheetDataSet>
      <sheetData sheetId="0"/>
      <sheetData sheetId="1"/>
      <sheetData sheetId="2">
        <row r="6">
          <cell r="C6">
            <v>2890151</v>
          </cell>
          <cell r="D6">
            <v>3121707</v>
          </cell>
        </row>
        <row r="7">
          <cell r="C7">
            <v>15625084</v>
          </cell>
          <cell r="D7">
            <v>17523996</v>
          </cell>
        </row>
        <row r="8">
          <cell r="C8">
            <v>9916715</v>
          </cell>
          <cell r="D8">
            <v>10849299</v>
          </cell>
        </row>
        <row r="9">
          <cell r="C9">
            <v>5708369</v>
          </cell>
          <cell r="D9">
            <v>6674697</v>
          </cell>
        </row>
        <row r="10">
          <cell r="C10">
            <v>367828</v>
          </cell>
          <cell r="D10">
            <v>429562</v>
          </cell>
        </row>
        <row r="11">
          <cell r="C11">
            <v>1055259</v>
          </cell>
          <cell r="D11">
            <v>1129606</v>
          </cell>
        </row>
        <row r="12">
          <cell r="C12">
            <v>509108</v>
          </cell>
          <cell r="D12">
            <v>592621</v>
          </cell>
        </row>
        <row r="13">
          <cell r="C13">
            <v>3308876</v>
          </cell>
          <cell r="D13">
            <v>3840905</v>
          </cell>
        </row>
        <row r="14">
          <cell r="C14">
            <v>992595</v>
          </cell>
          <cell r="D14">
            <v>1212696</v>
          </cell>
        </row>
        <row r="15">
          <cell r="C15">
            <v>1235994</v>
          </cell>
          <cell r="D15">
            <v>1425578</v>
          </cell>
        </row>
        <row r="16">
          <cell r="C16">
            <v>530162</v>
          </cell>
          <cell r="D16">
            <v>607419</v>
          </cell>
        </row>
        <row r="17">
          <cell r="C17">
            <v>673307</v>
          </cell>
          <cell r="D17">
            <v>811611</v>
          </cell>
        </row>
        <row r="18">
          <cell r="C18">
            <v>318951</v>
          </cell>
          <cell r="D18">
            <v>361859</v>
          </cell>
        </row>
        <row r="19">
          <cell r="C19">
            <v>333642</v>
          </cell>
          <cell r="D19">
            <v>383865</v>
          </cell>
        </row>
        <row r="20">
          <cell r="C20">
            <v>1738929</v>
          </cell>
          <cell r="D20">
            <v>2043540</v>
          </cell>
        </row>
        <row r="21">
          <cell r="C21">
            <v>1101593</v>
          </cell>
          <cell r="D21">
            <v>1278873</v>
          </cell>
        </row>
        <row r="22">
          <cell r="C22">
            <v>551266</v>
          </cell>
          <cell r="D22">
            <v>710814</v>
          </cell>
        </row>
        <row r="23">
          <cell r="C23">
            <v>638645</v>
          </cell>
          <cell r="D23">
            <v>750768</v>
          </cell>
        </row>
        <row r="24">
          <cell r="C24">
            <v>1214441</v>
          </cell>
          <cell r="D24">
            <v>1441351</v>
          </cell>
        </row>
        <row r="25">
          <cell r="C25">
            <v>681055</v>
          </cell>
          <cell r="D25">
            <v>822853</v>
          </cell>
        </row>
        <row r="26">
          <cell r="C26">
            <v>432310</v>
          </cell>
          <cell r="D26">
            <v>542069</v>
          </cell>
        </row>
        <row r="27">
          <cell r="C27">
            <v>273964</v>
          </cell>
          <cell r="D27">
            <v>337226</v>
          </cell>
        </row>
        <row r="28">
          <cell r="C28">
            <v>3194537</v>
          </cell>
          <cell r="D28">
            <v>3544908</v>
          </cell>
        </row>
        <row r="29">
          <cell r="C29">
            <v>874006</v>
          </cell>
          <cell r="D29">
            <v>1060906</v>
          </cell>
        </row>
        <row r="30">
          <cell r="C30">
            <v>127205</v>
          </cell>
          <cell r="D30">
            <v>185732</v>
          </cell>
        </row>
        <row r="31">
          <cell r="C31">
            <v>1448188</v>
          </cell>
          <cell r="D31">
            <v>1731820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0802-904E-4729-8B1B-633BB7F9FE8B}">
  <dimension ref="A1:K25"/>
  <sheetViews>
    <sheetView tabSelected="1" workbookViewId="0">
      <selection activeCell="M3" sqref="M3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s="2">
        <v>1914</v>
      </c>
      <c r="D1" s="2">
        <v>1947</v>
      </c>
      <c r="E1" s="2">
        <v>1960</v>
      </c>
      <c r="F1" s="2">
        <v>1970</v>
      </c>
      <c r="G1" s="2">
        <v>1980</v>
      </c>
      <c r="H1" s="2">
        <v>1991</v>
      </c>
      <c r="I1">
        <v>2001</v>
      </c>
      <c r="J1">
        <v>2010</v>
      </c>
      <c r="K1">
        <v>2022</v>
      </c>
    </row>
    <row r="2" spans="1:11" x14ac:dyDescent="0.3">
      <c r="A2" t="s">
        <v>2</v>
      </c>
      <c r="B2" t="s">
        <v>3</v>
      </c>
      <c r="C2">
        <v>1575814</v>
      </c>
      <c r="D2">
        <v>2981043</v>
      </c>
      <c r="E2">
        <v>2966634</v>
      </c>
      <c r="F2">
        <v>2972453</v>
      </c>
      <c r="G2">
        <v>2922829</v>
      </c>
      <c r="H2">
        <v>2965403</v>
      </c>
      <c r="I2">
        <v>2776138</v>
      </c>
      <c r="J2">
        <v>2890151</v>
      </c>
      <c r="K2">
        <f>VLOOKUP(J2,'[1]2022'!$C$6:$D$31,2,0)</f>
        <v>3121707</v>
      </c>
    </row>
    <row r="3" spans="1:11" x14ac:dyDescent="0.3">
      <c r="A3" t="str">
        <f t="shared" ref="A3:A7" si="0">A2</f>
        <v>PAMPEANA</v>
      </c>
      <c r="B3" t="s">
        <v>4</v>
      </c>
      <c r="C3">
        <v>2066948</v>
      </c>
      <c r="D3">
        <v>4273874</v>
      </c>
      <c r="E3">
        <v>6766108</v>
      </c>
      <c r="F3">
        <v>8774529</v>
      </c>
      <c r="G3">
        <v>9766030</v>
      </c>
      <c r="H3">
        <v>12594974</v>
      </c>
      <c r="I3">
        <v>13827203</v>
      </c>
      <c r="J3">
        <v>15625084</v>
      </c>
      <c r="K3">
        <f>VLOOKUP(J3,'[1]2022'!$C$6:$D$31,2,0)</f>
        <v>17523996</v>
      </c>
    </row>
    <row r="4" spans="1:11" x14ac:dyDescent="0.3">
      <c r="A4" t="str">
        <f t="shared" si="0"/>
        <v>PAMPEANA</v>
      </c>
      <c r="B4" t="s">
        <v>5</v>
      </c>
      <c r="C4">
        <v>735472</v>
      </c>
      <c r="D4">
        <v>1497987</v>
      </c>
      <c r="E4">
        <v>1753840</v>
      </c>
      <c r="F4">
        <v>2060065</v>
      </c>
      <c r="G4">
        <v>2407754</v>
      </c>
      <c r="H4">
        <v>2766683</v>
      </c>
      <c r="I4">
        <v>3066801</v>
      </c>
      <c r="J4" s="1">
        <v>3308876</v>
      </c>
      <c r="K4">
        <f>VLOOKUP(J4,'[1]2022'!$C$6:$D$31,2,0)</f>
        <v>3840905</v>
      </c>
    </row>
    <row r="5" spans="1:11" x14ac:dyDescent="0.3">
      <c r="A5" t="str">
        <f t="shared" si="0"/>
        <v>PAMPEANA</v>
      </c>
      <c r="B5" t="s">
        <v>6</v>
      </c>
      <c r="C5">
        <v>899640</v>
      </c>
      <c r="D5">
        <v>1702975</v>
      </c>
      <c r="E5">
        <v>1884918</v>
      </c>
      <c r="F5">
        <v>2135583</v>
      </c>
      <c r="G5">
        <v>2465546</v>
      </c>
      <c r="H5">
        <v>2798422</v>
      </c>
      <c r="I5">
        <v>3000701</v>
      </c>
      <c r="J5" s="1">
        <v>3194537</v>
      </c>
      <c r="K5">
        <f>VLOOKUP(J5,'[1]2022'!$C$6:$D$31,2,0)</f>
        <v>3544908</v>
      </c>
    </row>
    <row r="6" spans="1:11" x14ac:dyDescent="0.3">
      <c r="A6" t="str">
        <f t="shared" si="0"/>
        <v>PAMPEANA</v>
      </c>
      <c r="B6" t="s">
        <v>7</v>
      </c>
      <c r="C6">
        <v>425373</v>
      </c>
      <c r="D6">
        <v>787362</v>
      </c>
      <c r="E6">
        <v>805357</v>
      </c>
      <c r="F6">
        <v>811691</v>
      </c>
      <c r="G6">
        <v>908313</v>
      </c>
      <c r="H6">
        <v>1020257</v>
      </c>
      <c r="I6">
        <v>1158147</v>
      </c>
      <c r="J6" s="1">
        <v>1235994</v>
      </c>
      <c r="K6">
        <f>VLOOKUP(J6,'[1]2022'!$C$6:$D$31,2,0)</f>
        <v>1425578</v>
      </c>
    </row>
    <row r="7" spans="1:11" x14ac:dyDescent="0.3">
      <c r="A7" t="str">
        <f t="shared" si="0"/>
        <v>PAMPEANA</v>
      </c>
      <c r="B7" t="s">
        <v>8</v>
      </c>
      <c r="C7">
        <v>101338</v>
      </c>
      <c r="D7">
        <v>169480</v>
      </c>
      <c r="E7">
        <v>158746</v>
      </c>
      <c r="F7">
        <v>172029</v>
      </c>
      <c r="G7">
        <v>208260</v>
      </c>
      <c r="H7">
        <v>259996</v>
      </c>
      <c r="I7">
        <v>299294</v>
      </c>
      <c r="J7">
        <v>318951</v>
      </c>
      <c r="K7">
        <f>VLOOKUP(J7,'[1]2022'!$C$6:$D$31,2,0)</f>
        <v>361859</v>
      </c>
    </row>
    <row r="8" spans="1:11" x14ac:dyDescent="0.3">
      <c r="A8" t="s">
        <v>9</v>
      </c>
      <c r="B8" t="s">
        <v>10</v>
      </c>
      <c r="C8">
        <v>46274</v>
      </c>
      <c r="D8">
        <v>430555</v>
      </c>
      <c r="E8">
        <v>543331</v>
      </c>
      <c r="F8">
        <v>566613</v>
      </c>
      <c r="G8">
        <v>701392</v>
      </c>
      <c r="H8">
        <v>839677</v>
      </c>
      <c r="I8">
        <v>984446</v>
      </c>
      <c r="J8" s="1">
        <v>1055259</v>
      </c>
      <c r="K8">
        <f>VLOOKUP(J8,'[1]2022'!$C$6:$D$31,2,0)</f>
        <v>1129606</v>
      </c>
    </row>
    <row r="9" spans="1:11" x14ac:dyDescent="0.3">
      <c r="A9" t="str">
        <f t="shared" ref="A9:A11" si="1">A8</f>
        <v>NORDESTE</v>
      </c>
      <c r="B9" t="s">
        <v>11</v>
      </c>
      <c r="C9">
        <v>53563</v>
      </c>
      <c r="D9">
        <v>246396</v>
      </c>
      <c r="E9">
        <v>361440</v>
      </c>
      <c r="F9">
        <v>443020</v>
      </c>
      <c r="G9">
        <v>588977</v>
      </c>
      <c r="H9">
        <v>788915</v>
      </c>
      <c r="I9">
        <v>965522</v>
      </c>
      <c r="J9" s="1">
        <v>1101593</v>
      </c>
      <c r="K9">
        <f>VLOOKUP(J9,'[1]2022'!$C$6:$D$31,2,0)</f>
        <v>1278873</v>
      </c>
    </row>
    <row r="10" spans="1:11" x14ac:dyDescent="0.3">
      <c r="A10" t="str">
        <f t="shared" si="1"/>
        <v>NORDESTE</v>
      </c>
      <c r="B10" t="s">
        <v>12</v>
      </c>
      <c r="C10">
        <v>347055</v>
      </c>
      <c r="D10">
        <v>525463</v>
      </c>
      <c r="E10">
        <v>533201</v>
      </c>
      <c r="F10">
        <v>564147</v>
      </c>
      <c r="G10">
        <v>661454</v>
      </c>
      <c r="H10">
        <v>795594</v>
      </c>
      <c r="I10">
        <v>930991</v>
      </c>
      <c r="J10" s="1">
        <v>992595</v>
      </c>
      <c r="K10">
        <f>VLOOKUP(J10,'[1]2022'!$C$6:$D$31,2,0)</f>
        <v>1212696</v>
      </c>
    </row>
    <row r="11" spans="1:11" x14ac:dyDescent="0.3">
      <c r="A11" t="str">
        <f t="shared" si="1"/>
        <v>NORDESTE</v>
      </c>
      <c r="B11" t="s">
        <v>13</v>
      </c>
      <c r="C11">
        <v>19281</v>
      </c>
      <c r="D11">
        <v>113790</v>
      </c>
      <c r="E11">
        <v>178526</v>
      </c>
      <c r="F11">
        <v>234075</v>
      </c>
      <c r="G11">
        <v>295887</v>
      </c>
      <c r="H11">
        <v>398413</v>
      </c>
      <c r="I11">
        <v>486559</v>
      </c>
      <c r="J11" s="1">
        <v>530162</v>
      </c>
      <c r="K11">
        <f>VLOOKUP(J11,'[1]2022'!$C$6:$D$31,2,0)</f>
        <v>607419</v>
      </c>
    </row>
    <row r="12" spans="1:11" x14ac:dyDescent="0.3">
      <c r="A12" t="s">
        <v>14</v>
      </c>
      <c r="B12" t="s">
        <v>15</v>
      </c>
      <c r="C12">
        <v>332933</v>
      </c>
      <c r="D12">
        <v>293371</v>
      </c>
      <c r="E12">
        <v>773972</v>
      </c>
      <c r="F12">
        <v>765962</v>
      </c>
      <c r="G12">
        <v>972655</v>
      </c>
      <c r="H12">
        <v>1142105</v>
      </c>
      <c r="I12">
        <v>1338523</v>
      </c>
      <c r="J12" s="1">
        <v>1448188</v>
      </c>
      <c r="K12">
        <f>VLOOKUP(J12,'[1]2022'!$C$6:$D$31,2,0)</f>
        <v>1731820</v>
      </c>
    </row>
    <row r="13" spans="1:11" x14ac:dyDescent="0.3">
      <c r="A13" t="str">
        <f t="shared" ref="A13:A17" si="2">A12</f>
        <v>NOROESTE</v>
      </c>
      <c r="B13" t="s">
        <v>16</v>
      </c>
      <c r="C13">
        <v>142156</v>
      </c>
      <c r="D13">
        <v>290826</v>
      </c>
      <c r="E13">
        <v>412854</v>
      </c>
      <c r="F13">
        <v>509803</v>
      </c>
      <c r="G13">
        <v>662870</v>
      </c>
      <c r="H13">
        <v>866153</v>
      </c>
      <c r="I13">
        <v>1079051</v>
      </c>
      <c r="J13" s="1">
        <v>1214441</v>
      </c>
      <c r="K13">
        <f>VLOOKUP(J13,'[1]2022'!$C$6:$D$31,2,0)</f>
        <v>1441351</v>
      </c>
    </row>
    <row r="14" spans="1:11" x14ac:dyDescent="0.3">
      <c r="A14" t="str">
        <f t="shared" si="2"/>
        <v>NOROESTE</v>
      </c>
      <c r="B14" t="s">
        <v>17</v>
      </c>
      <c r="C14">
        <v>261678</v>
      </c>
      <c r="D14">
        <v>479473</v>
      </c>
      <c r="E14">
        <v>476503</v>
      </c>
      <c r="F14">
        <v>495419</v>
      </c>
      <c r="G14">
        <v>594920</v>
      </c>
      <c r="H14">
        <v>671988</v>
      </c>
      <c r="I14">
        <v>804457</v>
      </c>
      <c r="J14" s="1">
        <v>874006</v>
      </c>
      <c r="K14">
        <f>VLOOKUP(J14,'[1]2022'!$C$6:$D$31,2,0)</f>
        <v>1060906</v>
      </c>
    </row>
    <row r="15" spans="1:11" x14ac:dyDescent="0.3">
      <c r="A15" t="str">
        <f t="shared" si="2"/>
        <v>NOROESTE</v>
      </c>
      <c r="B15" t="s">
        <v>18</v>
      </c>
      <c r="C15">
        <v>77511</v>
      </c>
      <c r="D15">
        <v>166700</v>
      </c>
      <c r="E15">
        <v>241462</v>
      </c>
      <c r="F15">
        <v>302436</v>
      </c>
      <c r="G15">
        <v>410008</v>
      </c>
      <c r="H15">
        <v>512329</v>
      </c>
      <c r="I15">
        <v>611888</v>
      </c>
      <c r="J15" s="1">
        <v>673307</v>
      </c>
      <c r="K15">
        <f>VLOOKUP(J15,'[1]2022'!$C$6:$D$31,2,0)</f>
        <v>811611</v>
      </c>
    </row>
    <row r="16" spans="1:11" x14ac:dyDescent="0.3">
      <c r="A16" t="str">
        <f t="shared" si="2"/>
        <v>NOROESTE</v>
      </c>
      <c r="B16" t="s">
        <v>19</v>
      </c>
      <c r="C16">
        <v>100769</v>
      </c>
      <c r="D16">
        <v>147213</v>
      </c>
      <c r="E16">
        <v>168231</v>
      </c>
      <c r="F16">
        <v>172323</v>
      </c>
      <c r="G16">
        <v>207717</v>
      </c>
      <c r="H16">
        <v>264234</v>
      </c>
      <c r="I16">
        <v>334568</v>
      </c>
      <c r="J16" s="1">
        <v>367828</v>
      </c>
      <c r="K16">
        <f>VLOOKUP(J16,'[1]2022'!$C$6:$D$31,2,0)</f>
        <v>429562</v>
      </c>
    </row>
    <row r="17" spans="1:11" x14ac:dyDescent="0.3">
      <c r="A17" t="str">
        <f t="shared" si="2"/>
        <v>NOROESTE</v>
      </c>
      <c r="B17" t="s">
        <v>20</v>
      </c>
      <c r="C17">
        <v>79754</v>
      </c>
      <c r="D17">
        <v>110746</v>
      </c>
      <c r="E17">
        <v>128220</v>
      </c>
      <c r="F17">
        <v>136237</v>
      </c>
      <c r="G17">
        <v>164217</v>
      </c>
      <c r="H17">
        <v>220729</v>
      </c>
      <c r="I17">
        <v>289983</v>
      </c>
      <c r="J17" s="1">
        <v>333642</v>
      </c>
      <c r="K17">
        <f>VLOOKUP(J17,'[1]2022'!$C$6:$D$31,2,0)</f>
        <v>383865</v>
      </c>
    </row>
    <row r="18" spans="1:11" x14ac:dyDescent="0.3">
      <c r="A18" t="s">
        <v>21</v>
      </c>
      <c r="B18" t="s">
        <v>22</v>
      </c>
      <c r="C18">
        <v>277535</v>
      </c>
      <c r="D18">
        <v>588231</v>
      </c>
      <c r="E18">
        <v>824036</v>
      </c>
      <c r="F18">
        <v>973075</v>
      </c>
      <c r="G18">
        <v>1196228</v>
      </c>
      <c r="H18">
        <v>1412481</v>
      </c>
      <c r="I18">
        <v>1579651</v>
      </c>
      <c r="J18" s="1">
        <v>1738929</v>
      </c>
      <c r="K18">
        <f>VLOOKUP(J18,'[1]2022'!$C$6:$D$31,2,0)</f>
        <v>2043540</v>
      </c>
    </row>
    <row r="19" spans="1:11" x14ac:dyDescent="0.3">
      <c r="A19" t="str">
        <f t="shared" ref="A19:A20" si="3">A18</f>
        <v>CUYO</v>
      </c>
      <c r="B19" t="s">
        <v>23</v>
      </c>
      <c r="C19">
        <v>119252</v>
      </c>
      <c r="D19">
        <v>261229</v>
      </c>
      <c r="E19">
        <v>352387</v>
      </c>
      <c r="F19">
        <v>384284</v>
      </c>
      <c r="G19">
        <v>465976</v>
      </c>
      <c r="H19">
        <v>528715</v>
      </c>
      <c r="I19">
        <v>620023</v>
      </c>
      <c r="J19" s="1">
        <v>681055</v>
      </c>
      <c r="K19">
        <f>VLOOKUP(J19,'[1]2022'!$C$6:$D$31,2,0)</f>
        <v>822853</v>
      </c>
    </row>
    <row r="20" spans="1:11" x14ac:dyDescent="0.3">
      <c r="A20" t="str">
        <f t="shared" si="3"/>
        <v>CUYO</v>
      </c>
      <c r="B20" t="s">
        <v>24</v>
      </c>
      <c r="C20">
        <v>116266</v>
      </c>
      <c r="D20">
        <v>165546</v>
      </c>
      <c r="E20">
        <v>174316</v>
      </c>
      <c r="F20">
        <v>183460</v>
      </c>
      <c r="G20">
        <v>214416</v>
      </c>
      <c r="H20">
        <v>286458</v>
      </c>
      <c r="I20">
        <v>367933</v>
      </c>
      <c r="J20" s="1">
        <v>432310</v>
      </c>
      <c r="K20">
        <f>VLOOKUP(J20,'[1]2022'!$C$6:$D$31,2,0)</f>
        <v>542069</v>
      </c>
    </row>
    <row r="21" spans="1:11" x14ac:dyDescent="0.3">
      <c r="A21" t="s">
        <v>25</v>
      </c>
      <c r="B21" t="s">
        <v>26</v>
      </c>
      <c r="C21">
        <v>42242</v>
      </c>
      <c r="D21">
        <v>134350</v>
      </c>
      <c r="E21">
        <v>193292</v>
      </c>
      <c r="F21">
        <v>262622</v>
      </c>
      <c r="G21">
        <v>383354</v>
      </c>
      <c r="H21">
        <v>506772</v>
      </c>
      <c r="I21">
        <v>552822</v>
      </c>
      <c r="J21" s="1">
        <v>638645</v>
      </c>
      <c r="K21">
        <f>VLOOKUP(J21,'[1]2022'!$C$6:$D$31,2,0)</f>
        <v>750768</v>
      </c>
    </row>
    <row r="22" spans="1:11" x14ac:dyDescent="0.3">
      <c r="A22" t="str">
        <f t="shared" ref="A22:A25" si="4">A21</f>
        <v>PATAGONIA</v>
      </c>
      <c r="B22" t="s">
        <v>27</v>
      </c>
      <c r="C22">
        <v>28866</v>
      </c>
      <c r="D22">
        <v>86836</v>
      </c>
      <c r="E22">
        <v>109890</v>
      </c>
      <c r="F22">
        <v>154570</v>
      </c>
      <c r="G22">
        <v>243850</v>
      </c>
      <c r="H22">
        <v>388833</v>
      </c>
      <c r="I22">
        <v>474155</v>
      </c>
      <c r="J22" s="1">
        <v>551266</v>
      </c>
      <c r="K22">
        <f>VLOOKUP(J22,'[1]2022'!$C$6:$D$31,2,0)</f>
        <v>710814</v>
      </c>
    </row>
    <row r="23" spans="1:11" x14ac:dyDescent="0.3">
      <c r="A23" t="str">
        <f t="shared" si="4"/>
        <v>PATAGONIA</v>
      </c>
      <c r="B23" t="s">
        <v>28</v>
      </c>
      <c r="C23">
        <v>23065</v>
      </c>
      <c r="D23">
        <v>92456</v>
      </c>
      <c r="E23">
        <v>142412</v>
      </c>
      <c r="F23">
        <v>189920</v>
      </c>
      <c r="G23">
        <v>263116</v>
      </c>
      <c r="H23">
        <v>357189</v>
      </c>
      <c r="I23">
        <v>413237</v>
      </c>
      <c r="J23" s="1">
        <v>509108</v>
      </c>
      <c r="K23">
        <f>VLOOKUP(J23,'[1]2022'!$C$6:$D$31,2,0)</f>
        <v>592621</v>
      </c>
    </row>
    <row r="24" spans="1:11" x14ac:dyDescent="0.3">
      <c r="A24" t="str">
        <f t="shared" si="4"/>
        <v>PATAGONIA</v>
      </c>
      <c r="B24" t="s">
        <v>29</v>
      </c>
      <c r="C24">
        <v>9948</v>
      </c>
      <c r="D24">
        <v>42880</v>
      </c>
      <c r="E24">
        <v>52908</v>
      </c>
      <c r="F24">
        <v>84457</v>
      </c>
      <c r="G24">
        <v>114941</v>
      </c>
      <c r="H24">
        <v>159839</v>
      </c>
      <c r="I24">
        <v>196958</v>
      </c>
      <c r="J24" s="1">
        <v>273964</v>
      </c>
      <c r="K24">
        <f>VLOOKUP(J24,'[1]2022'!$C$6:$D$31,2,0)</f>
        <v>337226</v>
      </c>
    </row>
    <row r="25" spans="1:11" x14ac:dyDescent="0.3">
      <c r="A25" t="str">
        <f t="shared" si="4"/>
        <v>PATAGONIA</v>
      </c>
      <c r="B25" t="s">
        <v>30</v>
      </c>
      <c r="C25">
        <v>2504</v>
      </c>
      <c r="D25">
        <v>5045</v>
      </c>
      <c r="E25">
        <v>11209</v>
      </c>
      <c r="F25">
        <v>15658</v>
      </c>
      <c r="G25">
        <v>27358</v>
      </c>
      <c r="H25">
        <v>69369</v>
      </c>
      <c r="I25">
        <v>101079</v>
      </c>
      <c r="J25" s="1">
        <v>127205</v>
      </c>
      <c r="K25">
        <f>VLOOKUP(J25,'[1]2022'!$C$6:$D$31,2,0)</f>
        <v>185732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2024-08-11T23:04:56Z</dcterms:created>
  <dcterms:modified xsi:type="dcterms:W3CDTF">2024-08-11T23:05:51Z</dcterms:modified>
</cp:coreProperties>
</file>